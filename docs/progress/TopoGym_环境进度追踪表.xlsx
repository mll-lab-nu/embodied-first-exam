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\NWU-Y2\CS499\topogym\topogym\docs\progress\"/>
    </mc:Choice>
  </mc:AlternateContent>
  <xr:revisionPtr revIDLastSave="0" documentId="13_ncr:1_{2D602BAA-1343-4582-836C-114B86A9428B}" xr6:coauthVersionLast="47" xr6:coauthVersionMax="47" xr10:uidLastSave="{00000000-0000-0000-0000-000000000000}"/>
  <bookViews>
    <workbookView xWindow="2232" yWindow="2232" windowWidth="17280" windowHeight="8880" tabRatio="500" xr2:uid="{00000000-000D-0000-FFFF-FFFF00000000}"/>
  </bookViews>
  <sheets>
    <sheet name="进度追踪" sheetId="1" r:id="rId1"/>
    <sheet name="说明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2" l="1"/>
  <c r="D20" i="2"/>
  <c r="C20" i="2"/>
  <c r="B20" i="2"/>
  <c r="E19" i="2"/>
  <c r="D19" i="2"/>
  <c r="C19" i="2"/>
  <c r="B19" i="2"/>
  <c r="E18" i="2"/>
  <c r="E21" i="2" s="1"/>
  <c r="D18" i="2"/>
  <c r="D21" i="2" s="1"/>
  <c r="C18" i="2"/>
  <c r="B18" i="2"/>
  <c r="C21" i="2" l="1"/>
  <c r="B21" i="2"/>
</calcChain>
</file>

<file path=xl/sharedStrings.xml><?xml version="1.0" encoding="utf-8"?>
<sst xmlns="http://schemas.openxmlformats.org/spreadsheetml/2006/main" count="164" uniqueCount="76">
  <si>
    <t>编号</t>
  </si>
  <si>
    <t>任务名称</t>
  </si>
  <si>
    <t>类别</t>
  </si>
  <si>
    <t>环境基础配置</t>
  </si>
  <si>
    <t>Oracle Planner</t>
  </si>
  <si>
    <t>随机化变体参数配置</t>
  </si>
  <si>
    <t>生成数据 Pipeline</t>
  </si>
  <si>
    <t>备注</t>
  </si>
  <si>
    <t>1.1</t>
  </si>
  <si>
    <t>对折／折角</t>
  </si>
  <si>
    <t>形状与自身层叠</t>
  </si>
  <si>
    <t>未开始</t>
  </si>
  <si>
    <t>布料材质表现不可用；会议决定暂缓调试，优先完成其余环境；后续参考 Genesis 官方布料示例的材质参数</t>
  </si>
  <si>
    <t>1.2</t>
  </si>
  <si>
    <t>展开单个褶皱</t>
  </si>
  <si>
    <t>同 1.1（布料任务统一暂缓）</t>
  </si>
  <si>
    <t>1.3</t>
  </si>
  <si>
    <t>展开自身卷曲的布带</t>
  </si>
  <si>
    <t>1.4</t>
  </si>
  <si>
    <t>将软管弯成 U 形</t>
  </si>
  <si>
    <t>软管属于绳类物体；会议结论为该类物体适用 FEM+IPC 求解，与布料（PBD）分开处理；当前实现状态待核对</t>
  </si>
  <si>
    <t>1.5</t>
  </si>
  <si>
    <t>铺展桌布并形成目标垂坠</t>
  </si>
  <si>
    <t>2.1</t>
  </si>
  <si>
    <t>绳端穿过挂钩／扣环（挂购物袋）</t>
  </si>
  <si>
    <t>路径与围绕</t>
  </si>
  <si>
    <t>2.3</t>
  </si>
  <si>
    <t>横杆穿过孔（刚体 threading）</t>
  </si>
  <si>
    <t>2.4</t>
  </si>
  <si>
    <t>绳子绕柱（0 → 2 圈）</t>
  </si>
  <si>
    <r>
      <rPr>
        <sz val="11"/>
        <rFont val="Arial"/>
        <charset val="1"/>
      </rPr>
      <t xml:space="preserve">Franka </t>
    </r>
    <r>
      <rPr>
        <sz val="11"/>
        <rFont val="Noto Sans CJK SC"/>
        <family val="2"/>
      </rPr>
      <t xml:space="preserve">末端关节不支持 </t>
    </r>
    <r>
      <rPr>
        <sz val="11"/>
        <rFont val="Arial"/>
        <charset val="1"/>
      </rPr>
      <t xml:space="preserve">360° </t>
    </r>
    <r>
      <rPr>
        <sz val="11"/>
        <rFont val="Noto Sans CJK SC"/>
        <family val="2"/>
      </rPr>
      <t>连续旋转，</t>
    </r>
    <r>
      <rPr>
        <sz val="11"/>
        <rFont val="Arial"/>
        <charset val="1"/>
      </rPr>
      <t xml:space="preserve">TCP </t>
    </r>
    <r>
      <rPr>
        <sz val="11"/>
        <rFont val="Noto Sans CJK SC"/>
        <family val="2"/>
      </rPr>
      <t xml:space="preserve">随绳同步旋转方案不可行；当前方案为抓取后手腕旋转 </t>
    </r>
    <r>
      <rPr>
        <sz val="11"/>
        <rFont val="Arial"/>
        <charset val="1"/>
      </rPr>
      <t xml:space="preserve">90° </t>
    </r>
    <r>
      <rPr>
        <sz val="11"/>
        <rFont val="Noto Sans CJK SC"/>
        <family val="2"/>
      </rPr>
      <t>使绳头朝下、沿螺旋上升轨迹缠绕；运动结束时绳存在轻微扭转，</t>
    </r>
    <r>
      <rPr>
        <sz val="11"/>
        <rFont val="Arial"/>
        <charset val="1"/>
      </rPr>
      <t xml:space="preserve">demo </t>
    </r>
    <r>
      <rPr>
        <sz val="11"/>
        <rFont val="Noto Sans CJK SC"/>
        <family val="2"/>
      </rPr>
      <t xml:space="preserve">待发 </t>
    </r>
    <r>
      <rPr>
        <sz val="11"/>
        <rFont val="Arial"/>
        <charset val="1"/>
      </rPr>
      <t xml:space="preserve">Slack </t>
    </r>
    <r>
      <rPr>
        <sz val="11"/>
        <rFont val="Noto Sans CJK SC"/>
        <family val="2"/>
      </rPr>
      <t>确认是否作为现阶段可接受结果</t>
    </r>
  </si>
  <si>
    <t>2.5</t>
  </si>
  <si>
    <t>从柱子上解下一圈绳（1 → 0）</t>
  </si>
  <si>
    <t>与 2.4 互为方向镜像任务，缠绕方案是否同样适用待核对</t>
  </si>
  <si>
    <t>2.6</t>
  </si>
  <si>
    <t>绳圈从柱 A 转移到柱 B</t>
  </si>
  <si>
    <t>2.7</t>
  </si>
  <si>
    <t>闭合环同时围住两个柱子</t>
  </si>
  <si>
    <t>3.1</t>
  </si>
  <si>
    <t>消除绳索交叉（untangle）</t>
  </si>
  <si>
    <t>缠绕与互锁</t>
  </si>
  <si>
    <t>3.2</t>
  </si>
  <si>
    <t>交换两根线的上下关系</t>
  </si>
  <si>
    <t>3.3</t>
  </si>
  <si>
    <t>3.4</t>
  </si>
  <si>
    <r>
      <rPr>
        <sz val="11"/>
        <rFont val="Arial"/>
        <charset val="1"/>
      </rPr>
      <t xml:space="preserve">C </t>
    </r>
    <r>
      <rPr>
        <sz val="11"/>
        <rFont val="Noto Sans CJK SC"/>
        <family val="2"/>
      </rPr>
      <t>形环从固定圆环中解开</t>
    </r>
  </si>
  <si>
    <t>4.1</t>
  </si>
  <si>
    <t>关闭挡板困住移动小球</t>
  </si>
  <si>
    <t>连接与可达性</t>
  </si>
  <si>
    <t>前置参数扫描（球速等）会议确认有必要进行</t>
  </si>
  <si>
    <t>4.2</t>
  </si>
  <si>
    <t>对齐圆盘缺口让杆子进入（stacked plate）</t>
  </si>
  <si>
    <t>4.3</t>
  </si>
  <si>
    <t>旋转分流板改变小球出口</t>
  </si>
  <si>
    <t>会议确定的场景修改：封闭左侧通道并延长、添加红色目标标记；分流板辨识度低，需改进几何表达或更换资产（现实参考：《3D 平衡球》）；旋转角度不足会导致球卡住，需纳入设计；场景修改后 planner 需复核</t>
  </si>
  <si>
    <t>4.4</t>
  </si>
  <si>
    <t>旋转连接杆合并两个组件</t>
  </si>
  <si>
    <t>使用说明</t>
  </si>
  <si>
    <r>
      <rPr>
        <sz val="11"/>
        <rFont val="Noto Sans CJK SC"/>
        <family val="2"/>
      </rPr>
      <t xml:space="preserve">需要编辑的单元格：进度追踪表 </t>
    </r>
    <r>
      <rPr>
        <sz val="11"/>
        <rFont val="Arial"/>
        <charset val="1"/>
      </rPr>
      <t xml:space="preserve">D–G </t>
    </r>
    <r>
      <rPr>
        <sz val="11"/>
        <rFont val="Noto Sans CJK SC"/>
        <family val="2"/>
      </rPr>
      <t xml:space="preserve">列的状态（下拉选择）与 </t>
    </r>
    <r>
      <rPr>
        <sz val="11"/>
        <rFont val="Arial"/>
        <charset val="1"/>
      </rPr>
      <t xml:space="preserve">H </t>
    </r>
    <r>
      <rPr>
        <sz val="11"/>
        <rFont val="Noto Sans CJK SC"/>
        <family val="2"/>
      </rPr>
      <t xml:space="preserve">列备注。其余列为任务信息，来源为 </t>
    </r>
    <r>
      <rPr>
        <sz val="11"/>
        <rFont val="Arial"/>
        <charset val="1"/>
      </rPr>
      <t xml:space="preserve">TopoGym </t>
    </r>
    <r>
      <rPr>
        <sz val="11"/>
        <rFont val="Noto Sans CJK SC"/>
        <family val="2"/>
      </rPr>
      <t>任务文档。</t>
    </r>
  </si>
  <si>
    <r>
      <rPr>
        <sz val="11"/>
        <rFont val="Noto Sans CJK SC"/>
        <family val="2"/>
      </rPr>
      <t xml:space="preserve">状态初始值统一为未开始，由本人逐项填写更新。备注列保留了 </t>
    </r>
    <r>
      <rPr>
        <sz val="11"/>
        <rFont val="Arial"/>
        <charset val="1"/>
      </rPr>
      <t xml:space="preserve">2026-08-19 </t>
    </r>
    <r>
      <rPr>
        <sz val="11"/>
        <rFont val="Noto Sans CJK SC"/>
        <family val="2"/>
      </rPr>
      <t>会议中与各任务相关的记录，供填写时参考。</t>
    </r>
  </si>
  <si>
    <t>里程碑定义</t>
  </si>
  <si>
    <t>场景搭建与相机配置（腕部相机与第三人称视角相机）全部调好</t>
  </si>
  <si>
    <t>对任意给定状态输出标准动作序列的求解器</t>
  </si>
  <si>
    <r>
      <rPr>
        <sz val="11"/>
        <rFont val="Noto Sans CJK SC"/>
        <family val="2"/>
      </rPr>
      <t>域随机化变体的参数轴设定，以及对应的场景变体生成器（</t>
    </r>
    <r>
      <rPr>
        <sz val="11"/>
        <rFont val="Arial"/>
        <charset val="1"/>
      </rPr>
      <t>generator</t>
    </r>
    <r>
      <rPr>
        <sz val="11"/>
        <rFont val="Noto Sans CJK SC"/>
        <family val="2"/>
      </rPr>
      <t>）</t>
    </r>
  </si>
  <si>
    <r>
      <rPr>
        <b/>
        <sz val="11"/>
        <rFont val="Noto Sans CJK SC"/>
        <family val="2"/>
      </rPr>
      <t xml:space="preserve">生成数据 </t>
    </r>
    <r>
      <rPr>
        <b/>
        <sz val="11"/>
        <rFont val="Arial"/>
        <charset val="1"/>
      </rPr>
      <t>Pipeline</t>
    </r>
  </si>
  <si>
    <r>
      <rPr>
        <sz val="11"/>
        <rFont val="Noto Sans CJK SC"/>
        <family val="2"/>
      </rPr>
      <t xml:space="preserve">由 </t>
    </r>
    <r>
      <rPr>
        <sz val="11"/>
        <rFont val="Arial"/>
        <charset val="1"/>
      </rPr>
      <t xml:space="preserve">Oracle Planner </t>
    </r>
    <r>
      <rPr>
        <sz val="11"/>
        <rFont val="Noto Sans CJK SC"/>
        <family val="2"/>
      </rPr>
      <t>批量生成模仿学习数据的流水线（含渲染与存储）</t>
    </r>
  </si>
  <si>
    <t>状态取值</t>
  </si>
  <si>
    <t>该里程碑尚未开始</t>
  </si>
  <si>
    <t>进行中</t>
  </si>
  <si>
    <t>该里程碑存在未完成事项，正在处理</t>
  </si>
  <si>
    <t>已完成</t>
  </si>
  <si>
    <t>该里程碑已完成</t>
  </si>
  <si>
    <t>汇总统计（随进度追踪表自动更新）</t>
  </si>
  <si>
    <t>状态</t>
  </si>
  <si>
    <t>合计</t>
  </si>
  <si>
    <r>
      <t xml:space="preserve">8 </t>
    </r>
    <r>
      <rPr>
        <sz val="11"/>
        <color rgb="FFFF0000"/>
        <rFont val="Noto Sans CJK SC"/>
        <family val="2"/>
      </rPr>
      <t xml:space="preserve">字绳圈改成 </t>
    </r>
    <r>
      <rPr>
        <sz val="11"/>
        <color rgb="FFFF0000"/>
        <rFont val="Arial"/>
        <family val="2"/>
      </rPr>
      <t xml:space="preserve">O </t>
    </r>
    <r>
      <rPr>
        <sz val="11"/>
        <color rgb="FFFF0000"/>
        <rFont val="Noto Sans CJK SC"/>
        <family val="2"/>
      </rPr>
      <t>形（解半扭转）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</si>
</sst>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name val="Noto Sans CJK SC"/>
      <family val="2"/>
      <charset val="1"/>
    </font>
    <font>
      <sz val="11"/>
      <name val="Noto Sans CJK SC"/>
      <family val="2"/>
    </font>
    <font>
      <b/>
      <sz val="12"/>
      <name val="Noto Sans CJK SC"/>
      <family val="2"/>
    </font>
    <font>
      <b/>
      <sz val="11"/>
      <name val="Noto Sans CJK SC"/>
      <family val="2"/>
    </font>
    <font>
      <b/>
      <sz val="11"/>
      <name val="Arial"/>
      <charset val="1"/>
    </font>
    <font>
      <sz val="11"/>
      <color rgb="FF595959"/>
      <name val="Noto Sans CJK SC"/>
      <family val="2"/>
    </font>
    <font>
      <sz val="11"/>
      <color rgb="FF9C6500"/>
      <name val="Noto Sans CJK SC"/>
      <family val="2"/>
    </font>
    <font>
      <sz val="11"/>
      <color rgb="FF006100"/>
      <name val="Noto Sans CJK SC"/>
      <family val="2"/>
    </font>
    <font>
      <sz val="11"/>
      <color rgb="FFFF0000"/>
      <name val="Noto Sans CJK SC"/>
      <family val="2"/>
      <charset val="1"/>
    </font>
    <font>
      <sz val="11"/>
      <color rgb="FFFF0000"/>
      <name val="Arial"/>
      <family val="2"/>
    </font>
    <font>
      <sz val="11"/>
      <color rgb="FFFF0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FCC99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3"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595959"/>
        <name val="Arial"/>
        <charset val="1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2" sqref="G2"/>
    </sheetView>
  </sheetViews>
  <sheetFormatPr defaultColWidth="8.6640625" defaultRowHeight="14.4"/>
  <cols>
    <col min="1" max="1" width="7" customWidth="1"/>
    <col min="2" max="2" width="34" customWidth="1"/>
    <col min="3" max="3" width="15" customWidth="1"/>
    <col min="4" max="5" width="14" customWidth="1"/>
    <col min="6" max="6" width="18" customWidth="1"/>
    <col min="7" max="7" width="16" customWidth="1"/>
    <col min="8" max="8" width="60" customWidth="1"/>
  </cols>
  <sheetData>
    <row r="1" spans="1:8" ht="27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32.25" customHeight="1">
      <c r="A2" s="3" t="s">
        <v>8</v>
      </c>
      <c r="B2" s="4" t="s">
        <v>9</v>
      </c>
      <c r="C2" s="20" t="s">
        <v>10</v>
      </c>
      <c r="D2" s="5" t="s">
        <v>70</v>
      </c>
      <c r="E2" s="5" t="s">
        <v>68</v>
      </c>
      <c r="F2" s="5" t="s">
        <v>11</v>
      </c>
      <c r="G2" s="5" t="s">
        <v>11</v>
      </c>
      <c r="H2" s="6" t="s">
        <v>12</v>
      </c>
    </row>
    <row r="3" spans="1:8" ht="16.5" customHeight="1">
      <c r="A3" s="3" t="s">
        <v>13</v>
      </c>
      <c r="B3" s="4" t="s">
        <v>14</v>
      </c>
      <c r="C3" s="20"/>
      <c r="D3" s="5" t="s">
        <v>70</v>
      </c>
      <c r="E3" s="5" t="s">
        <v>68</v>
      </c>
      <c r="F3" s="5" t="s">
        <v>11</v>
      </c>
      <c r="G3" s="5" t="s">
        <v>11</v>
      </c>
      <c r="H3" s="6" t="s">
        <v>15</v>
      </c>
    </row>
    <row r="4" spans="1:8" ht="16.5" customHeight="1">
      <c r="A4" s="3" t="s">
        <v>16</v>
      </c>
      <c r="B4" s="4" t="s">
        <v>17</v>
      </c>
      <c r="C4" s="20"/>
      <c r="D4" s="5" t="s">
        <v>68</v>
      </c>
      <c r="E4" s="5" t="s">
        <v>11</v>
      </c>
      <c r="F4" s="5" t="s">
        <v>11</v>
      </c>
      <c r="G4" s="5" t="s">
        <v>11</v>
      </c>
      <c r="H4" s="6" t="s">
        <v>15</v>
      </c>
    </row>
    <row r="5" spans="1:8" ht="32.25" customHeight="1">
      <c r="A5" s="3" t="s">
        <v>18</v>
      </c>
      <c r="B5" s="4" t="s">
        <v>19</v>
      </c>
      <c r="C5" s="20"/>
      <c r="D5" s="5" t="s">
        <v>68</v>
      </c>
      <c r="E5" s="5" t="s">
        <v>11</v>
      </c>
      <c r="F5" s="5" t="s">
        <v>11</v>
      </c>
      <c r="G5" s="5" t="s">
        <v>11</v>
      </c>
      <c r="H5" s="6" t="s">
        <v>20</v>
      </c>
    </row>
    <row r="6" spans="1:8" ht="16.5" customHeight="1">
      <c r="A6" s="3" t="s">
        <v>21</v>
      </c>
      <c r="B6" s="18" t="s">
        <v>22</v>
      </c>
      <c r="C6" s="20"/>
      <c r="D6" s="5" t="s">
        <v>11</v>
      </c>
      <c r="E6" s="5" t="s">
        <v>11</v>
      </c>
      <c r="F6" s="5" t="s">
        <v>11</v>
      </c>
      <c r="G6" s="5" t="s">
        <v>11</v>
      </c>
      <c r="H6" s="6" t="s">
        <v>15</v>
      </c>
    </row>
    <row r="7" spans="1:8" ht="16.5" customHeight="1">
      <c r="A7" s="3" t="s">
        <v>23</v>
      </c>
      <c r="B7" s="18" t="s">
        <v>24</v>
      </c>
      <c r="C7" s="20" t="s">
        <v>25</v>
      </c>
      <c r="D7" s="5" t="s">
        <v>11</v>
      </c>
      <c r="E7" s="5" t="s">
        <v>11</v>
      </c>
      <c r="F7" s="5" t="s">
        <v>11</v>
      </c>
      <c r="G7" s="5" t="s">
        <v>11</v>
      </c>
      <c r="H7" s="6"/>
    </row>
    <row r="8" spans="1:8" ht="16.5" customHeight="1">
      <c r="A8" s="3" t="s">
        <v>26</v>
      </c>
      <c r="B8" s="4" t="s">
        <v>27</v>
      </c>
      <c r="C8" s="20"/>
      <c r="D8" s="5" t="s">
        <v>70</v>
      </c>
      <c r="E8" s="5" t="s">
        <v>68</v>
      </c>
      <c r="F8" s="5" t="s">
        <v>11</v>
      </c>
      <c r="G8" s="5" t="s">
        <v>11</v>
      </c>
      <c r="H8" s="6"/>
    </row>
    <row r="9" spans="1:8" ht="63.75" customHeight="1">
      <c r="A9" s="3" t="s">
        <v>28</v>
      </c>
      <c r="B9" s="4" t="s">
        <v>29</v>
      </c>
      <c r="C9" s="20"/>
      <c r="D9" s="5" t="s">
        <v>70</v>
      </c>
      <c r="E9" s="5" t="s">
        <v>68</v>
      </c>
      <c r="F9" s="5" t="s">
        <v>11</v>
      </c>
      <c r="G9" s="5" t="s">
        <v>11</v>
      </c>
      <c r="H9" s="7" t="s">
        <v>30</v>
      </c>
    </row>
    <row r="10" spans="1:8" ht="16.5" customHeight="1">
      <c r="A10" s="3" t="s">
        <v>31</v>
      </c>
      <c r="B10" s="18" t="s">
        <v>32</v>
      </c>
      <c r="C10" s="20"/>
      <c r="D10" s="5" t="s">
        <v>11</v>
      </c>
      <c r="E10" s="5" t="s">
        <v>11</v>
      </c>
      <c r="F10" s="5" t="s">
        <v>11</v>
      </c>
      <c r="G10" s="5" t="s">
        <v>11</v>
      </c>
      <c r="H10" s="6" t="s">
        <v>33</v>
      </c>
    </row>
    <row r="11" spans="1:8" ht="16.5" customHeight="1">
      <c r="A11" s="3" t="s">
        <v>34</v>
      </c>
      <c r="B11" s="4" t="s">
        <v>35</v>
      </c>
      <c r="C11" s="20"/>
      <c r="D11" s="5" t="s">
        <v>68</v>
      </c>
      <c r="E11" s="5" t="s">
        <v>11</v>
      </c>
      <c r="F11" s="5" t="s">
        <v>11</v>
      </c>
      <c r="G11" s="5" t="s">
        <v>11</v>
      </c>
      <c r="H11" s="7"/>
    </row>
    <row r="12" spans="1:8" ht="16.5" customHeight="1">
      <c r="A12" s="3" t="s">
        <v>36</v>
      </c>
      <c r="B12" s="4" t="s">
        <v>37</v>
      </c>
      <c r="C12" s="20"/>
      <c r="D12" s="5" t="s">
        <v>11</v>
      </c>
      <c r="E12" s="5" t="s">
        <v>11</v>
      </c>
      <c r="F12" s="5" t="s">
        <v>11</v>
      </c>
      <c r="G12" s="5" t="s">
        <v>11</v>
      </c>
      <c r="H12" s="7"/>
    </row>
    <row r="13" spans="1:8" ht="16.5" customHeight="1">
      <c r="A13" s="3" t="s">
        <v>38</v>
      </c>
      <c r="B13" s="4" t="s">
        <v>39</v>
      </c>
      <c r="C13" s="20" t="s">
        <v>40</v>
      </c>
      <c r="D13" s="5" t="s">
        <v>70</v>
      </c>
      <c r="E13" s="5" t="s">
        <v>70</v>
      </c>
      <c r="F13" s="5" t="s">
        <v>11</v>
      </c>
      <c r="G13" s="5" t="s">
        <v>11</v>
      </c>
      <c r="H13" s="7"/>
    </row>
    <row r="14" spans="1:8" ht="16.5" customHeight="1">
      <c r="A14" s="3" t="s">
        <v>41</v>
      </c>
      <c r="B14" s="4" t="s">
        <v>42</v>
      </c>
      <c r="C14" s="20"/>
      <c r="D14" s="5" t="s">
        <v>70</v>
      </c>
      <c r="E14" s="5" t="s">
        <v>68</v>
      </c>
      <c r="F14" s="5" t="s">
        <v>11</v>
      </c>
      <c r="G14" s="5" t="s">
        <v>11</v>
      </c>
      <c r="H14" s="7"/>
    </row>
    <row r="15" spans="1:8" ht="16.5" customHeight="1">
      <c r="A15" s="3" t="s">
        <v>43</v>
      </c>
      <c r="B15" s="19" t="s">
        <v>75</v>
      </c>
      <c r="C15" s="20"/>
      <c r="D15" s="5" t="s">
        <v>11</v>
      </c>
      <c r="E15" s="5" t="s">
        <v>11</v>
      </c>
      <c r="F15" s="5" t="s">
        <v>11</v>
      </c>
      <c r="G15" s="5" t="s">
        <v>11</v>
      </c>
      <c r="H15" s="7"/>
    </row>
    <row r="16" spans="1:8" ht="16.5" customHeight="1">
      <c r="A16" s="3" t="s">
        <v>44</v>
      </c>
      <c r="B16" s="8" t="s">
        <v>45</v>
      </c>
      <c r="C16" s="20"/>
      <c r="D16" s="5" t="s">
        <v>70</v>
      </c>
      <c r="E16" s="5" t="s">
        <v>68</v>
      </c>
      <c r="F16" s="5" t="s">
        <v>11</v>
      </c>
      <c r="G16" s="5" t="s">
        <v>11</v>
      </c>
      <c r="H16" s="7"/>
    </row>
    <row r="17" spans="1:8" ht="16.5" customHeight="1">
      <c r="A17" s="3" t="s">
        <v>46</v>
      </c>
      <c r="B17" s="4" t="s">
        <v>47</v>
      </c>
      <c r="C17" s="20" t="s">
        <v>48</v>
      </c>
      <c r="D17" s="5" t="s">
        <v>70</v>
      </c>
      <c r="E17" s="5" t="s">
        <v>70</v>
      </c>
      <c r="F17" s="5" t="s">
        <v>11</v>
      </c>
      <c r="G17" s="5" t="s">
        <v>11</v>
      </c>
      <c r="H17" s="6" t="s">
        <v>49</v>
      </c>
    </row>
    <row r="18" spans="1:8" ht="32.25" customHeight="1">
      <c r="A18" s="3" t="s">
        <v>50</v>
      </c>
      <c r="B18" s="4" t="s">
        <v>51</v>
      </c>
      <c r="C18" s="20"/>
      <c r="D18" s="5" t="s">
        <v>70</v>
      </c>
      <c r="E18" s="5" t="s">
        <v>70</v>
      </c>
      <c r="F18" s="5" t="s">
        <v>11</v>
      </c>
      <c r="G18" s="5" t="s">
        <v>11</v>
      </c>
      <c r="H18" s="7"/>
    </row>
    <row r="19" spans="1:8" ht="63.75" customHeight="1">
      <c r="A19" s="3" t="s">
        <v>52</v>
      </c>
      <c r="B19" s="4" t="s">
        <v>53</v>
      </c>
      <c r="C19" s="20"/>
      <c r="D19" s="5" t="s">
        <v>70</v>
      </c>
      <c r="E19" s="5" t="s">
        <v>68</v>
      </c>
      <c r="F19" s="5" t="s">
        <v>11</v>
      </c>
      <c r="G19" s="5" t="s">
        <v>11</v>
      </c>
      <c r="H19" s="6" t="s">
        <v>54</v>
      </c>
    </row>
    <row r="20" spans="1:8" ht="16.5" customHeight="1">
      <c r="A20" s="3" t="s">
        <v>55</v>
      </c>
      <c r="B20" s="4" t="s">
        <v>56</v>
      </c>
      <c r="C20" s="20"/>
      <c r="D20" s="5" t="s">
        <v>68</v>
      </c>
      <c r="E20" s="5" t="s">
        <v>68</v>
      </c>
      <c r="F20" s="5" t="s">
        <v>11</v>
      </c>
      <c r="G20" s="5" t="s">
        <v>11</v>
      </c>
      <c r="H20" s="7"/>
    </row>
  </sheetData>
  <mergeCells count="4">
    <mergeCell ref="C2:C6"/>
    <mergeCell ref="C7:C12"/>
    <mergeCell ref="C13:C16"/>
    <mergeCell ref="C17:C20"/>
  </mergeCells>
  <conditionalFormatting sqref="D2:G20">
    <cfRule type="cellIs" dxfId="2" priority="2" operator="equal">
      <formula>"未开始"</formula>
    </cfRule>
    <cfRule type="cellIs" dxfId="1" priority="3" operator="equal">
      <formula>"进行中"</formula>
    </cfRule>
    <cfRule type="cellIs" dxfId="0" priority="4" operator="equal">
      <formula>"已完成"</formula>
    </cfRule>
  </conditionalFormatting>
  <dataValidations count="1">
    <dataValidation type="list" allowBlank="1" sqref="D2:G20" xr:uid="{00000000-0002-0000-0000-000000000000}">
      <formula1>"未开始,进行中,已完成"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zoomScaleNormal="100" workbookViewId="0"/>
  </sheetViews>
  <sheetFormatPr defaultColWidth="8.6640625" defaultRowHeight="14.4"/>
  <cols>
    <col min="1" max="1" width="20" customWidth="1"/>
    <col min="2" max="2" width="22" customWidth="1"/>
    <col min="3" max="3" width="18" customWidth="1"/>
    <col min="4" max="4" width="22" customWidth="1"/>
    <col min="5" max="6" width="20" customWidth="1"/>
  </cols>
  <sheetData>
    <row r="1" spans="1:6" ht="15.6">
      <c r="A1" s="9" t="s">
        <v>57</v>
      </c>
    </row>
    <row r="2" spans="1:6" ht="17.100000000000001" customHeight="1">
      <c r="A2" s="21" t="s">
        <v>58</v>
      </c>
      <c r="B2" s="21"/>
      <c r="C2" s="21"/>
      <c r="D2" s="21"/>
      <c r="E2" s="21"/>
      <c r="F2" s="21"/>
    </row>
    <row r="3" spans="1:6" ht="17.100000000000001" customHeight="1">
      <c r="A3" s="21" t="s">
        <v>59</v>
      </c>
      <c r="B3" s="21"/>
      <c r="C3" s="21"/>
      <c r="D3" s="21"/>
      <c r="E3" s="21"/>
      <c r="F3" s="21"/>
    </row>
    <row r="5" spans="1:6" ht="15.6">
      <c r="A5" s="9" t="s">
        <v>60</v>
      </c>
    </row>
    <row r="6" spans="1:6" ht="17.100000000000001" customHeight="1">
      <c r="A6" s="10" t="s">
        <v>3</v>
      </c>
      <c r="B6" s="21" t="s">
        <v>61</v>
      </c>
      <c r="C6" s="21"/>
      <c r="D6" s="21"/>
      <c r="E6" s="21"/>
      <c r="F6" s="21"/>
    </row>
    <row r="7" spans="1:6" ht="17.100000000000001" customHeight="1">
      <c r="A7" s="11" t="s">
        <v>4</v>
      </c>
      <c r="B7" s="21" t="s">
        <v>62</v>
      </c>
      <c r="C7" s="21"/>
      <c r="D7" s="21"/>
      <c r="E7" s="21"/>
      <c r="F7" s="21"/>
    </row>
    <row r="8" spans="1:6" ht="17.100000000000001" customHeight="1">
      <c r="A8" s="10" t="s">
        <v>5</v>
      </c>
      <c r="B8" s="21" t="s">
        <v>63</v>
      </c>
      <c r="C8" s="21"/>
      <c r="D8" s="21"/>
      <c r="E8" s="21"/>
      <c r="F8" s="21"/>
    </row>
    <row r="9" spans="1:6" ht="17.100000000000001" customHeight="1">
      <c r="A9" s="10" t="s">
        <v>64</v>
      </c>
      <c r="B9" s="21" t="s">
        <v>65</v>
      </c>
      <c r="C9" s="21"/>
      <c r="D9" s="21"/>
      <c r="E9" s="21"/>
      <c r="F9" s="21"/>
    </row>
    <row r="11" spans="1:6" ht="15.6">
      <c r="A11" s="9" t="s">
        <v>66</v>
      </c>
    </row>
    <row r="12" spans="1:6" ht="17.100000000000001" customHeight="1">
      <c r="A12" s="12" t="s">
        <v>11</v>
      </c>
      <c r="B12" s="21" t="s">
        <v>67</v>
      </c>
      <c r="C12" s="21"/>
      <c r="D12" s="21"/>
      <c r="E12" s="21"/>
      <c r="F12" s="21"/>
    </row>
    <row r="13" spans="1:6" ht="17.100000000000001" customHeight="1">
      <c r="A13" s="13" t="s">
        <v>68</v>
      </c>
      <c r="B13" s="21" t="s">
        <v>69</v>
      </c>
      <c r="C13" s="21"/>
      <c r="D13" s="21"/>
      <c r="E13" s="21"/>
      <c r="F13" s="21"/>
    </row>
    <row r="14" spans="1:6" ht="17.100000000000001" customHeight="1">
      <c r="A14" s="14" t="s">
        <v>70</v>
      </c>
      <c r="B14" s="21" t="s">
        <v>71</v>
      </c>
      <c r="C14" s="21"/>
      <c r="D14" s="21"/>
      <c r="E14" s="21"/>
      <c r="F14" s="21"/>
    </row>
    <row r="16" spans="1:6" ht="15.6">
      <c r="A16" s="9" t="s">
        <v>72</v>
      </c>
    </row>
    <row r="17" spans="1:5">
      <c r="A17" s="10" t="s">
        <v>73</v>
      </c>
      <c r="B17" s="10" t="s">
        <v>3</v>
      </c>
      <c r="C17" s="11" t="s">
        <v>4</v>
      </c>
      <c r="D17" s="10" t="s">
        <v>5</v>
      </c>
      <c r="E17" s="10" t="s">
        <v>64</v>
      </c>
    </row>
    <row r="18" spans="1:5">
      <c r="A18" s="15" t="s">
        <v>11</v>
      </c>
      <c r="B18" s="16">
        <f>COUNTIF(进度追踪!D$2:D$20,$A18)</f>
        <v>5</v>
      </c>
      <c r="C18" s="16">
        <f>COUNTIF(进度追踪!E$2:E$20,$A18)</f>
        <v>8</v>
      </c>
      <c r="D18" s="16">
        <f>COUNTIF(进度追踪!F$2:F$20,$A18)</f>
        <v>19</v>
      </c>
      <c r="E18" s="16">
        <f>COUNTIF(进度追踪!G$2:G$20,$A18)</f>
        <v>19</v>
      </c>
    </row>
    <row r="19" spans="1:5">
      <c r="A19" s="15" t="s">
        <v>68</v>
      </c>
      <c r="B19" s="16">
        <f>COUNTIF(进度追踪!D$2:D$20,$A19)</f>
        <v>4</v>
      </c>
      <c r="C19" s="16">
        <f>COUNTIF(进度追踪!E$2:E$20,$A19)</f>
        <v>8</v>
      </c>
      <c r="D19" s="16">
        <f>COUNTIF(进度追踪!F$2:F$20,$A19)</f>
        <v>0</v>
      </c>
      <c r="E19" s="16">
        <f>COUNTIF(进度追踪!G$2:G$20,$A19)</f>
        <v>0</v>
      </c>
    </row>
    <row r="20" spans="1:5">
      <c r="A20" s="15" t="s">
        <v>70</v>
      </c>
      <c r="B20" s="16">
        <f>COUNTIF(进度追踪!D$2:D$20,$A20)</f>
        <v>10</v>
      </c>
      <c r="C20" s="16">
        <f>COUNTIF(进度追踪!E$2:E$20,$A20)</f>
        <v>3</v>
      </c>
      <c r="D20" s="16">
        <f>COUNTIF(进度追踪!F$2:F$20,$A20)</f>
        <v>0</v>
      </c>
      <c r="E20" s="16">
        <f>COUNTIF(进度追踪!G$2:G$20,$A20)</f>
        <v>0</v>
      </c>
    </row>
    <row r="21" spans="1:5">
      <c r="A21" s="10" t="s">
        <v>74</v>
      </c>
      <c r="B21" s="17">
        <f>SUM(B18:B20)</f>
        <v>19</v>
      </c>
      <c r="C21" s="17">
        <f>SUM(C18:C20)</f>
        <v>19</v>
      </c>
      <c r="D21" s="17">
        <f>SUM(D18:D20)</f>
        <v>19</v>
      </c>
      <c r="E21" s="17">
        <f>SUM(E18:E20)</f>
        <v>19</v>
      </c>
    </row>
  </sheetData>
  <mergeCells count="9">
    <mergeCell ref="B9:F9"/>
    <mergeCell ref="B12:F12"/>
    <mergeCell ref="B13:F13"/>
    <mergeCell ref="B14:F14"/>
    <mergeCell ref="A2:F2"/>
    <mergeCell ref="A3:F3"/>
    <mergeCell ref="B6:F6"/>
    <mergeCell ref="B7:F7"/>
    <mergeCell ref="B8:F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进度追踪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Jianwen Lyu</cp:lastModifiedBy>
  <cp:revision>0</cp:revision>
  <dcterms:created xsi:type="dcterms:W3CDTF">2026-08-20T02:18:01Z</dcterms:created>
  <dcterms:modified xsi:type="dcterms:W3CDTF">2026-08-26T02:51:12Z</dcterms:modified>
  <dc:language>en-US</dc:language>
</cp:coreProperties>
</file>